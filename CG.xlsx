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b\Aircraft-Design\"/>
    </mc:Choice>
  </mc:AlternateContent>
  <xr:revisionPtr revIDLastSave="0" documentId="13_ncr:1_{BF4E0417-CD5C-49B2-859D-634838851D26}" xr6:coauthVersionLast="47" xr6:coauthVersionMax="47" xr10:uidLastSave="{00000000-0000-0000-0000-000000000000}"/>
  <bookViews>
    <workbookView xWindow="-108" yWindow="-108" windowWidth="23256" windowHeight="12456" activeTab="1" xr2:uid="{2D22CE55-4E9C-4C79-B130-A5CA048C5C17}"/>
  </bookViews>
  <sheets>
    <sheet name="CG" sheetId="1" r:id="rId1"/>
    <sheet name="ST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2" l="1"/>
  <c r="S72" i="2"/>
  <c r="S69" i="2"/>
  <c r="L69" i="2"/>
  <c r="H68" i="2"/>
  <c r="H69" i="2" s="1"/>
  <c r="H70" i="2" s="1"/>
  <c r="E62" i="2"/>
  <c r="O53" i="2"/>
  <c r="H52" i="2"/>
  <c r="H56" i="2" s="1"/>
  <c r="C52" i="2"/>
  <c r="G43" i="2"/>
  <c r="C43" i="2"/>
  <c r="G35" i="2"/>
  <c r="G42" i="2" s="1"/>
  <c r="C35" i="2"/>
  <c r="C42" i="2" s="1"/>
  <c r="K22" i="2"/>
  <c r="G22" i="2"/>
  <c r="C22" i="2"/>
  <c r="K16" i="2"/>
  <c r="G16" i="2"/>
  <c r="C16" i="2"/>
  <c r="D20" i="1"/>
  <c r="H2" i="1" s="1"/>
  <c r="D3" i="1"/>
  <c r="D4" i="1"/>
  <c r="D5" i="1"/>
  <c r="D2" i="1"/>
  <c r="B20" i="1"/>
  <c r="B2" i="1"/>
  <c r="L53" i="2" l="1"/>
  <c r="O75" i="2"/>
  <c r="G40" i="2"/>
  <c r="C40" i="2"/>
  <c r="L52" i="2"/>
  <c r="K17" i="2"/>
  <c r="K20" i="2"/>
  <c r="K21" i="2" s="1"/>
  <c r="K18" i="2"/>
  <c r="K19" i="2" s="1"/>
  <c r="G18" i="2"/>
  <c r="G19" i="2" s="1"/>
  <c r="G20" i="2"/>
  <c r="G21" i="2" s="1"/>
  <c r="G17" i="2"/>
  <c r="L84" i="2"/>
  <c r="C20" i="2"/>
  <c r="C18" i="2"/>
  <c r="C19" i="2" s="1"/>
  <c r="O54" i="2" s="1"/>
  <c r="O55" i="2" s="1"/>
  <c r="C17" i="2"/>
  <c r="O76" i="2" l="1"/>
  <c r="G25" i="2"/>
  <c r="G24" i="2"/>
  <c r="G44" i="2" s="1"/>
  <c r="G45" i="2" s="1"/>
  <c r="G23" i="2"/>
  <c r="C84" i="2"/>
  <c r="C83" i="2"/>
  <c r="H71" i="2"/>
  <c r="C21" i="2"/>
  <c r="L68" i="2"/>
  <c r="L70" i="2" s="1"/>
  <c r="S8" i="2"/>
  <c r="L71" i="2"/>
  <c r="K25" i="2"/>
  <c r="K24" i="2"/>
  <c r="K23" i="2"/>
  <c r="C85" i="2" l="1"/>
  <c r="C86" i="2" s="1"/>
  <c r="L85" i="2"/>
  <c r="L87" i="2" s="1"/>
  <c r="L86" i="2"/>
  <c r="C24" i="2"/>
  <c r="C23" i="2"/>
  <c r="C25" i="2"/>
  <c r="H62" i="2"/>
  <c r="C88" i="2"/>
  <c r="F83" i="2" s="1"/>
  <c r="L83" i="2"/>
  <c r="L72" i="2"/>
  <c r="C44" i="2" l="1"/>
  <c r="O84" i="2"/>
  <c r="O85" i="2" s="1"/>
  <c r="O70" i="2"/>
  <c r="O71" i="2" s="1"/>
  <c r="H54" i="2"/>
  <c r="E49" i="2"/>
  <c r="C45" i="2"/>
  <c r="O83" i="2"/>
  <c r="F84" i="2"/>
  <c r="F85" i="2"/>
  <c r="F86" i="2" s="1"/>
  <c r="F89" i="2" l="1"/>
  <c r="F87" i="2"/>
  <c r="F88" i="2" s="1"/>
  <c r="O86" i="2"/>
  <c r="I83" i="2" l="1"/>
  <c r="F90" i="2"/>
  <c r="I84" i="2" l="1"/>
  <c r="C96" i="2" l="1"/>
  <c r="C94" i="2"/>
  <c r="G94" i="2" s="1"/>
  <c r="C95" i="2"/>
  <c r="C93" i="2"/>
  <c r="K94" i="2" l="1"/>
  <c r="G93" i="2"/>
  <c r="K93" i="2" s="1"/>
</calcChain>
</file>

<file path=xl/sharedStrings.xml><?xml version="1.0" encoding="utf-8"?>
<sst xmlns="http://schemas.openxmlformats.org/spreadsheetml/2006/main" count="303" uniqueCount="194">
  <si>
    <t>Item</t>
  </si>
  <si>
    <t>Weight (lb)</t>
  </si>
  <si>
    <t>Moment Arm (ft)</t>
  </si>
  <si>
    <t>Moment (ft-lb)</t>
  </si>
  <si>
    <t>Wing</t>
  </si>
  <si>
    <t>Engines</t>
  </si>
  <si>
    <t>Fuel</t>
  </si>
  <si>
    <t>Payload</t>
  </si>
  <si>
    <t>XCG</t>
  </si>
  <si>
    <t>SUM Weight</t>
  </si>
  <si>
    <t>SUM Moments</t>
  </si>
  <si>
    <t>Aircraft:</t>
  </si>
  <si>
    <t>Geometric Parameters</t>
  </si>
  <si>
    <t>Wing Parameters</t>
  </si>
  <si>
    <t>Horizontal Tail Parameters</t>
  </si>
  <si>
    <t>Vertical Tail Parameters</t>
  </si>
  <si>
    <t>SYNTHS</t>
  </si>
  <si>
    <t>Initial Guess was 0.23MAC</t>
  </si>
  <si>
    <t>CHRDR=</t>
  </si>
  <si>
    <t>ft</t>
  </si>
  <si>
    <t>XW=</t>
  </si>
  <si>
    <t>x~CG</t>
  </si>
  <si>
    <t>CRHTP=</t>
  </si>
  <si>
    <t>CHRTP=</t>
  </si>
  <si>
    <t>ZW=</t>
  </si>
  <si>
    <t>XCG=</t>
  </si>
  <si>
    <t>SSPN=</t>
  </si>
  <si>
    <t>ALIW=</t>
  </si>
  <si>
    <t>deg</t>
  </si>
  <si>
    <t>SSPNE=</t>
  </si>
  <si>
    <t>SAVSI=</t>
  </si>
  <si>
    <t>CHSTAT=</t>
  </si>
  <si>
    <t>XH=</t>
  </si>
  <si>
    <t>TWISTA=</t>
  </si>
  <si>
    <t>ZH=</t>
  </si>
  <si>
    <t>DHDADI=</t>
  </si>
  <si>
    <t>ALIH=</t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</si>
  <si>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w</t>
    </r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</si>
  <si>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t</t>
    </r>
  </si>
  <si>
    <t>Weight=</t>
  </si>
  <si>
    <t>lb</t>
  </si>
  <si>
    <r>
      <t>cbar</t>
    </r>
    <r>
      <rPr>
        <vertAlign val="subscript"/>
        <sz val="11"/>
        <color theme="1"/>
        <rFont val="Aptos Narrow"/>
        <family val="2"/>
        <scheme val="minor"/>
      </rPr>
      <t>w</t>
    </r>
  </si>
  <si>
    <r>
      <t>cbar</t>
    </r>
    <r>
      <rPr>
        <vertAlign val="subscript"/>
        <sz val="11"/>
        <color theme="1"/>
        <rFont val="Aptos Narrow"/>
        <family val="2"/>
        <scheme val="minor"/>
      </rPr>
      <t>t</t>
    </r>
  </si>
  <si>
    <t>XP=</t>
  </si>
  <si>
    <r>
      <t>ybar</t>
    </r>
    <r>
      <rPr>
        <vertAlign val="subscript"/>
        <sz val="11"/>
        <color theme="1"/>
        <rFont val="Aptos Narrow"/>
        <family val="2"/>
        <scheme val="minor"/>
      </rPr>
      <t>w</t>
    </r>
  </si>
  <si>
    <r>
      <t>ybar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</si>
  <si>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xbar</t>
    </r>
    <r>
      <rPr>
        <vertAlign val="subscript"/>
        <sz val="11"/>
        <color theme="1"/>
        <rFont val="Aptos Narrow"/>
        <family val="2"/>
        <scheme val="minor"/>
      </rPr>
      <t>w</t>
    </r>
  </si>
  <si>
    <r>
      <t>xbar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</si>
  <si>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w</t>
    </r>
  </si>
  <si>
    <t>sf</t>
  </si>
  <si>
    <r>
      <t>S</t>
    </r>
    <r>
      <rPr>
        <vertAlign val="subscript"/>
        <sz val="11"/>
        <color theme="1"/>
        <rFont val="Aptos Narrow"/>
        <family val="2"/>
        <scheme val="minor"/>
      </rPr>
      <t>t</t>
    </r>
  </si>
  <si>
    <t>ATM Conditions</t>
  </si>
  <si>
    <t>Cruise Conditions</t>
  </si>
  <si>
    <r>
      <t>AR</t>
    </r>
    <r>
      <rPr>
        <vertAlign val="subscript"/>
        <sz val="11"/>
        <color theme="1"/>
        <rFont val="Aptos Narrow"/>
        <family val="2"/>
        <scheme val="minor"/>
      </rPr>
      <t>w</t>
    </r>
  </si>
  <si>
    <r>
      <t>AR</t>
    </r>
    <r>
      <rPr>
        <vertAlign val="subscript"/>
        <sz val="11"/>
        <color theme="1"/>
        <rFont val="Aptos Narrow"/>
        <family val="2"/>
        <scheme val="minor"/>
      </rPr>
      <t>t</t>
    </r>
  </si>
  <si>
    <t>rho=</t>
  </si>
  <si>
    <t>sl/ft3</t>
  </si>
  <si>
    <t>Bhp</t>
  </si>
  <si>
    <t>hp</t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</si>
  <si>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LE_w</t>
    </r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</si>
  <si>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LE_t</t>
    </r>
  </si>
  <si>
    <t>nu=</t>
  </si>
  <si>
    <t>N</t>
  </si>
  <si>
    <t>RPM</t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</si>
  <si>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c/4_w</t>
    </r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</si>
  <si>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c/4_t</t>
    </r>
  </si>
  <si>
    <t>sigma=</t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</si>
  <si>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c/2_w</t>
    </r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</si>
  <si>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c/2_t</t>
    </r>
  </si>
  <si>
    <t>a_sos=</t>
  </si>
  <si>
    <t>fps</t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</si>
  <si>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TE_w</t>
    </r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</si>
  <si>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TE_t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</si>
  <si>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w</t>
    </r>
  </si>
  <si>
    <t>Aerodynamic Parameters</t>
  </si>
  <si>
    <t>Horizontal Tail</t>
  </si>
  <si>
    <t>Airfoil:</t>
  </si>
  <si>
    <t>Avg 23012-18</t>
  </si>
  <si>
    <r>
      <t>CL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</si>
  <si>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rPr>
        <sz val="11"/>
        <color theme="1"/>
        <rFont val="GreekC_IV25"/>
      </rPr>
      <t>a</t>
    </r>
    <r>
      <rPr>
        <vertAlign val="subscript"/>
        <sz val="11"/>
        <color theme="1"/>
        <rFont val="Aptos Narrow"/>
        <family val="2"/>
        <scheme val="minor"/>
      </rPr>
      <t>ol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</si>
  <si>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o</t>
    </r>
  </si>
  <si>
    <r>
      <t>deg</t>
    </r>
    <r>
      <rPr>
        <vertAlign val="superscript"/>
        <sz val="11"/>
        <color theme="1"/>
        <rFont val="Aptos Narrow"/>
        <family val="2"/>
        <scheme val="minor"/>
      </rPr>
      <t>-1</t>
    </r>
  </si>
  <si>
    <r>
      <t>rad</t>
    </r>
    <r>
      <rPr>
        <vertAlign val="superscript"/>
        <sz val="11"/>
        <color theme="1"/>
        <rFont val="Aptos Narrow"/>
        <family val="2"/>
        <scheme val="minor"/>
      </rPr>
      <t>-1</t>
    </r>
  </si>
  <si>
    <r>
      <t>CM</t>
    </r>
    <r>
      <rPr>
        <vertAlign val="subscript"/>
        <sz val="11"/>
        <color theme="1"/>
        <rFont val="Aptos Narrow"/>
        <family val="2"/>
        <scheme val="minor"/>
      </rPr>
      <t>ac</t>
    </r>
  </si>
  <si>
    <t>ac</t>
  </si>
  <si>
    <r>
      <t>M</t>
    </r>
    <r>
      <rPr>
        <vertAlign val="subscript"/>
        <sz val="11"/>
        <color theme="1"/>
        <rFont val="Aptos Narrow"/>
        <family val="2"/>
        <scheme val="minor"/>
      </rPr>
      <t>crit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</si>
  <si>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</si>
  <si>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cr</t>
    </r>
  </si>
  <si>
    <t>k</t>
  </si>
  <si>
    <t>b</t>
  </si>
  <si>
    <r>
      <t>a</t>
    </r>
    <r>
      <rPr>
        <vertAlign val="subscript"/>
        <sz val="11"/>
        <color theme="1"/>
        <rFont val="Aptos Narrow"/>
        <family val="2"/>
        <scheme val="minor"/>
      </rPr>
      <t>w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</si>
  <si>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t</t>
    </r>
  </si>
  <si>
    <t>Downwash @ HT</t>
  </si>
  <si>
    <r>
      <t>d</t>
    </r>
    <r>
      <rPr>
        <sz val="11"/>
        <color theme="1"/>
        <rFont val="GreekC_IV25"/>
      </rPr>
      <t>e</t>
    </r>
    <r>
      <rPr>
        <sz val="11"/>
        <color theme="1"/>
        <rFont val="Aptos Narrow"/>
        <family val="2"/>
        <scheme val="minor"/>
      </rPr>
      <t>/d</t>
    </r>
    <r>
      <rPr>
        <sz val="11"/>
        <color theme="1"/>
        <rFont val="GreekC_IV25"/>
      </rPr>
      <t>a</t>
    </r>
  </si>
  <si>
    <t>Parameters for Wing Zero Lift Angle</t>
  </si>
  <si>
    <t>Wing Zero Lift Angle</t>
  </si>
  <si>
    <t>Wing AC wrt MAC</t>
  </si>
  <si>
    <r>
      <t>e</t>
    </r>
    <r>
      <rPr>
        <sz val="11"/>
        <color theme="1"/>
        <rFont val="Aptos Narrow"/>
        <family val="2"/>
        <scheme val="minor"/>
      </rPr>
      <t>=</t>
    </r>
  </si>
  <si>
    <t>deg washout</t>
  </si>
  <si>
    <t>Theta_geo=</t>
  </si>
  <si>
    <t>tan(LE)/B=</t>
  </si>
  <si>
    <t>x~ac_cr=</t>
  </si>
  <si>
    <t>Fig 4.1.4.2-26</t>
  </si>
  <si>
    <t>t/c=</t>
  </si>
  <si>
    <t>%c</t>
  </si>
  <si>
    <r>
      <t>Da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GreekC_IV25"/>
      </rPr>
      <t>Q</t>
    </r>
    <r>
      <rPr>
        <sz val="11"/>
        <color theme="1"/>
        <rFont val="Aptos Narrow"/>
        <family val="2"/>
        <scheme val="minor"/>
      </rPr>
      <t>=</t>
    </r>
  </si>
  <si>
    <t>Fig 4.1.3.1-4</t>
  </si>
  <si>
    <t>B/tan(LE)=</t>
  </si>
  <si>
    <t>x_ac=</t>
  </si>
  <si>
    <r>
      <rPr>
        <sz val="11"/>
        <color theme="1"/>
        <rFont val="GreekC_IV25"/>
      </rPr>
      <t>a</t>
    </r>
    <r>
      <rPr>
        <vertAlign val="subscript"/>
        <sz val="11"/>
        <color theme="1"/>
        <rFont val="Aptos Narrow"/>
        <family val="2"/>
        <scheme val="minor"/>
      </rPr>
      <t>olr</t>
    </r>
    <r>
      <rPr>
        <sz val="11"/>
        <color theme="1"/>
        <rFont val="Aptos Narrow"/>
        <family val="2"/>
        <scheme val="minor"/>
      </rPr>
      <t xml:space="preserve"> =</t>
    </r>
  </si>
  <si>
    <r>
      <t>Mcos(</t>
    </r>
    <r>
      <rPr>
        <sz val="10"/>
        <color theme="1"/>
        <rFont val="GreekC_IV25"/>
      </rPr>
      <t>L</t>
    </r>
    <r>
      <rPr>
        <vertAlign val="subscript"/>
        <sz val="10"/>
        <color theme="1"/>
        <rFont val="Aptos Narrow"/>
        <family val="2"/>
        <scheme val="minor"/>
      </rPr>
      <t>c/4_w</t>
    </r>
    <r>
      <rPr>
        <sz val="10"/>
        <color theme="1"/>
        <rFont val="Aptos Narrow"/>
        <family val="2"/>
        <scheme val="minor"/>
      </rPr>
      <t>)=</t>
    </r>
  </si>
  <si>
    <t>x_ac_mac=</t>
  </si>
  <si>
    <r>
      <rPr>
        <sz val="11"/>
        <color theme="1"/>
        <rFont val="GreekC_IV25"/>
      </rPr>
      <t>a</t>
    </r>
    <r>
      <rPr>
        <vertAlign val="subscript"/>
        <sz val="11"/>
        <color theme="1"/>
        <rFont val="Aptos Narrow"/>
        <family val="2"/>
        <scheme val="minor"/>
      </rPr>
      <t>olt</t>
    </r>
    <r>
      <rPr>
        <sz val="11"/>
        <color theme="1"/>
        <rFont val="Aptos Narrow"/>
        <family val="2"/>
        <scheme val="minor"/>
      </rPr>
      <t xml:space="preserve"> =</t>
    </r>
  </si>
  <si>
    <r>
      <rPr>
        <sz val="11"/>
        <color theme="1"/>
        <rFont val="Calbri"/>
      </rPr>
      <t>K_M_</t>
    </r>
    <r>
      <rPr>
        <sz val="11"/>
        <color theme="1"/>
        <rFont val="GreekC_IV25"/>
      </rPr>
      <t>a</t>
    </r>
  </si>
  <si>
    <t>x~ac_w=</t>
  </si>
  <si>
    <r>
      <rPr>
        <sz val="11"/>
        <color theme="1"/>
        <rFont val="GreekC_IV25"/>
      </rPr>
      <t>a</t>
    </r>
    <r>
      <rPr>
        <vertAlign val="subscript"/>
        <sz val="11"/>
        <color theme="1"/>
        <rFont val="Aptos Narrow"/>
        <family val="2"/>
        <scheme val="minor"/>
      </rPr>
      <t>olw</t>
    </r>
    <r>
      <rPr>
        <sz val="11"/>
        <color theme="1"/>
        <rFont val="Aptos Narrow"/>
        <family val="2"/>
        <scheme val="minor"/>
      </rPr>
      <t>=</t>
    </r>
  </si>
  <si>
    <t>Wing CMAC</t>
  </si>
  <si>
    <t>Cmacr=</t>
  </si>
  <si>
    <r>
      <t>D</t>
    </r>
    <r>
      <rPr>
        <sz val="11"/>
        <color theme="1"/>
        <rFont val="Aptos Narrow"/>
        <family val="2"/>
        <scheme val="minor"/>
      </rPr>
      <t>CM</t>
    </r>
    <r>
      <rPr>
        <vertAlign val="sub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GreekC_IV25"/>
      </rPr>
      <t>Q</t>
    </r>
    <r>
      <rPr>
        <sz val="11"/>
        <color theme="1"/>
        <rFont val="Aptos Narrow"/>
        <family val="2"/>
        <scheme val="minor"/>
      </rPr>
      <t>=</t>
    </r>
  </si>
  <si>
    <t>Cmact=</t>
  </si>
  <si>
    <t>K_M_CM=</t>
  </si>
  <si>
    <t>Cmac_avg=</t>
  </si>
  <si>
    <t>CMACw</t>
  </si>
  <si>
    <t>Stick-Fixed Longitudinal Stability</t>
  </si>
  <si>
    <t>Fuselage</t>
  </si>
  <si>
    <t>Fuselage Cma</t>
  </si>
  <si>
    <t>Wing Drag</t>
  </si>
  <si>
    <t>Fuselage Parameters</t>
  </si>
  <si>
    <t>l_f=</t>
  </si>
  <si>
    <t>l/h=</t>
  </si>
  <si>
    <t>t/c_max=</t>
  </si>
  <si>
    <t>%</t>
  </si>
  <si>
    <t>Cre=</t>
  </si>
  <si>
    <t xml:space="preserve">Lf = </t>
  </si>
  <si>
    <t>l_f/L_f =</t>
  </si>
  <si>
    <t>Km=</t>
  </si>
  <si>
    <t>L=</t>
  </si>
  <si>
    <t>Sexp=</t>
  </si>
  <si>
    <t>w_f_max=</t>
  </si>
  <si>
    <t>K_f=</t>
  </si>
  <si>
    <t>Re_10=</t>
  </si>
  <si>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0.3c</t>
    </r>
    <r>
      <rPr>
        <sz val="11"/>
        <color theme="1"/>
        <rFont val="Aptos Narrow"/>
        <family val="2"/>
        <scheme val="minor"/>
      </rPr>
      <t xml:space="preserve"> =</t>
    </r>
  </si>
  <si>
    <t>t/c_root=</t>
  </si>
  <si>
    <t>Cma, f</t>
  </si>
  <si>
    <t>per deg</t>
  </si>
  <si>
    <t>Re_cbar=</t>
  </si>
  <si>
    <r>
      <t>cos(</t>
    </r>
    <r>
      <rPr>
        <sz val="11"/>
        <color theme="1"/>
        <rFont val="GreekC_IV25"/>
      </rPr>
      <t>L</t>
    </r>
    <r>
      <rPr>
        <vertAlign val="subscript"/>
        <sz val="11"/>
        <color theme="1"/>
        <rFont val="Aptos Narrow"/>
        <family val="2"/>
        <scheme val="minor"/>
      </rPr>
      <t>0.3c)</t>
    </r>
    <r>
      <rPr>
        <sz val="11"/>
        <color theme="1"/>
        <rFont val="Aptos Narrow"/>
        <family val="2"/>
        <scheme val="minor"/>
      </rPr>
      <t xml:space="preserve"> =</t>
    </r>
  </si>
  <si>
    <t>t/c_tip=</t>
  </si>
  <si>
    <t>Re=</t>
  </si>
  <si>
    <t>R_LS=</t>
  </si>
  <si>
    <t>Fig 4.1.5.1-28b</t>
  </si>
  <si>
    <t>Cf=</t>
  </si>
  <si>
    <t>Fig 4.1.5.1-26</t>
  </si>
  <si>
    <t>Swet=</t>
  </si>
  <si>
    <t>ft2</t>
  </si>
  <si>
    <t>CDo=</t>
  </si>
  <si>
    <t>Eta_t</t>
  </si>
  <si>
    <r>
      <t>d</t>
    </r>
    <r>
      <rPr>
        <b/>
        <sz val="11"/>
        <color theme="1"/>
        <rFont val="GreekC_IV25"/>
      </rPr>
      <t>e</t>
    </r>
    <r>
      <rPr>
        <b/>
        <sz val="11"/>
        <color theme="1"/>
        <rFont val="Aptos Narrow"/>
        <family val="2"/>
        <scheme val="minor"/>
      </rPr>
      <t>/d</t>
    </r>
    <r>
      <rPr>
        <b/>
        <sz val="11"/>
        <color theme="1"/>
        <rFont val="GreekC_IV25"/>
      </rPr>
      <t>a</t>
    </r>
  </si>
  <si>
    <t>Xh=</t>
  </si>
  <si>
    <t>tau=</t>
  </si>
  <si>
    <t>z_w=</t>
  </si>
  <si>
    <t>K_A=</t>
  </si>
  <si>
    <t>Zh=</t>
  </si>
  <si>
    <t>ln_1=</t>
  </si>
  <si>
    <t>eta_t=</t>
  </si>
  <si>
    <t>K_lambda=</t>
  </si>
  <si>
    <t>a_w_M=0</t>
  </si>
  <si>
    <t>per rad</t>
  </si>
  <si>
    <t>gamma=</t>
  </si>
  <si>
    <t>zn_1=</t>
  </si>
  <si>
    <t>h_eps=</t>
  </si>
  <si>
    <t>zn_2=</t>
  </si>
  <si>
    <t>l_eps=</t>
  </si>
  <si>
    <r>
      <t>d</t>
    </r>
    <r>
      <rPr>
        <sz val="11"/>
        <color theme="1"/>
        <rFont val="GreekC_IV25"/>
      </rPr>
      <t>e</t>
    </r>
    <r>
      <rPr>
        <sz val="11"/>
        <color theme="1"/>
        <rFont val="Aptos Narrow"/>
        <family val="2"/>
        <scheme val="minor"/>
      </rPr>
      <t>/d</t>
    </r>
    <r>
      <rPr>
        <sz val="11"/>
        <color theme="1"/>
        <rFont val="GreekC_IV25"/>
      </rPr>
      <t>a</t>
    </r>
    <r>
      <rPr>
        <sz val="11"/>
        <color theme="1"/>
        <rFont val="Aptos Narrow"/>
        <family val="2"/>
        <scheme val="minor"/>
      </rPr>
      <t>_M</t>
    </r>
  </si>
  <si>
    <t>CL=</t>
  </si>
  <si>
    <t>ln_2=</t>
  </si>
  <si>
    <t>K_h=</t>
  </si>
  <si>
    <t>eta_n=</t>
  </si>
  <si>
    <t>ln=</t>
  </si>
  <si>
    <t>alpha=</t>
  </si>
  <si>
    <t>z_n=</t>
  </si>
  <si>
    <t>alpha_w=</t>
  </si>
  <si>
    <t>z_n check=</t>
  </si>
  <si>
    <r>
      <rPr>
        <sz val="11"/>
        <color theme="1"/>
        <rFont val="GreekC_IV25"/>
      </rPr>
      <t>D</t>
    </r>
    <r>
      <rPr>
        <sz val="11"/>
        <color theme="1"/>
        <rFont val="Aptos Narrow"/>
        <family val="2"/>
        <scheme val="minor"/>
      </rPr>
      <t>CMCLfpo-wp=</t>
    </r>
  </si>
  <si>
    <t>P + H</t>
  </si>
  <si>
    <t>Aircraft Coefficients</t>
  </si>
  <si>
    <t>CLo=</t>
  </si>
  <si>
    <t>CMCL_np=</t>
  </si>
  <si>
    <t>CMCL=</t>
  </si>
  <si>
    <t>CLa=</t>
  </si>
  <si>
    <r>
      <rPr>
        <sz val="11"/>
        <color theme="1"/>
        <rFont val="GreekC_IV25"/>
      </rPr>
      <t>D</t>
    </r>
    <r>
      <rPr>
        <sz val="11"/>
        <color theme="1"/>
        <rFont val="Aptos Narrow"/>
        <family val="2"/>
        <scheme val="minor"/>
      </rPr>
      <t>CMCLfwp-fp=</t>
    </r>
  </si>
  <si>
    <t>alpha_trim=</t>
  </si>
  <si>
    <t>Cmo=</t>
  </si>
  <si>
    <t>Cma=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</si>
</sst>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0.000000"/>
    <numFmt numFmtId="168" formatCode="0.0000000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GreekC_IV50"/>
    </font>
    <font>
      <sz val="11"/>
      <color theme="1"/>
      <name val="GreekC_IV25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GreekC_IV25"/>
    </font>
    <font>
      <vertAlign val="subscript"/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bri"/>
    </font>
    <font>
      <b/>
      <sz val="11"/>
      <color theme="1"/>
      <name val="GreekC_IV25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/>
    <xf numFmtId="164" fontId="0" fillId="4" borderId="0" xfId="0" applyNumberFormat="1" applyFill="1"/>
    <xf numFmtId="0" fontId="3" fillId="0" borderId="0" xfId="0" applyFont="1"/>
    <xf numFmtId="0" fontId="0" fillId="4" borderId="0" xfId="0" applyFill="1"/>
    <xf numFmtId="165" fontId="0" fillId="4" borderId="0" xfId="0" applyNumberFormat="1" applyFill="1"/>
    <xf numFmtId="166" fontId="0" fillId="4" borderId="0" xfId="0" applyNumberFormat="1" applyFill="1"/>
    <xf numFmtId="0" fontId="1" fillId="0" borderId="0" xfId="0" applyFont="1"/>
    <xf numFmtId="2" fontId="0" fillId="4" borderId="0" xfId="0" applyNumberFormat="1" applyFill="1"/>
    <xf numFmtId="11" fontId="0" fillId="3" borderId="0" xfId="0" applyNumberFormat="1" applyFill="1"/>
    <xf numFmtId="2" fontId="0" fillId="5" borderId="0" xfId="0" applyNumberFormat="1" applyFill="1"/>
    <xf numFmtId="166" fontId="0" fillId="0" borderId="0" xfId="0" applyNumberFormat="1"/>
    <xf numFmtId="0" fontId="0" fillId="6" borderId="0" xfId="0" applyFill="1"/>
    <xf numFmtId="164" fontId="0" fillId="3" borderId="0" xfId="0" applyNumberFormat="1" applyFill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7" borderId="0" xfId="0" applyFill="1"/>
    <xf numFmtId="0" fontId="0" fillId="5" borderId="0" xfId="0" applyFill="1"/>
    <xf numFmtId="0" fontId="7" fillId="0" borderId="0" xfId="0" applyFont="1" applyAlignment="1">
      <alignment horizontal="right"/>
    </xf>
    <xf numFmtId="164" fontId="0" fillId="0" borderId="0" xfId="0" applyNumberFormat="1"/>
    <xf numFmtId="0" fontId="10" fillId="0" borderId="0" xfId="0" applyFont="1"/>
    <xf numFmtId="0" fontId="11" fillId="0" borderId="0" xfId="0" applyFont="1" applyAlignment="1">
      <alignment horizontal="right"/>
    </xf>
    <xf numFmtId="167" fontId="0" fillId="4" borderId="0" xfId="0" applyNumberFormat="1" applyFill="1"/>
    <xf numFmtId="0" fontId="2" fillId="0" borderId="0" xfId="0" applyFont="1" applyAlignment="1">
      <alignment horizontal="left"/>
    </xf>
    <xf numFmtId="165" fontId="0" fillId="0" borderId="0" xfId="0" applyNumberFormat="1"/>
    <xf numFmtId="11" fontId="0" fillId="0" borderId="0" xfId="0" applyNumberFormat="1"/>
    <xf numFmtId="166" fontId="0" fillId="7" borderId="0" xfId="0" applyNumberFormat="1" applyFill="1"/>
    <xf numFmtId="168" fontId="0" fillId="0" borderId="0" xfId="0" applyNumberFormat="1"/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396240</xdr:colOff>
      <xdr:row>14</xdr:row>
      <xdr:rowOff>194310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1F34D9-EF8D-48EE-A522-4218BD8DF176}"/>
            </a:ext>
          </a:extLst>
        </xdr:cNvPr>
        <xdr:cNvSpPr txBox="1"/>
      </xdr:nvSpPr>
      <xdr:spPr>
        <a:xfrm>
          <a:off x="10591800" y="27698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5E873-0951-4307-A661-081B518CE6C5}" name="Table1" displayName="Table1" ref="A1:D19" totalsRowShown="0" headerRowDxfId="1" dataDxfId="0">
  <autoFilter ref="A1:D19" xr:uid="{5C75E873-0951-4307-A661-081B518CE6C5}"/>
  <tableColumns count="4">
    <tableColumn id="1" xr3:uid="{10CBCDE1-F4E1-4154-90BC-D4A8ECB36437}" name="Item" dataDxfId="5"/>
    <tableColumn id="2" xr3:uid="{C6B58515-FDB9-471B-8130-FB461A313F87}" name="Weight (lb)" dataDxfId="4"/>
    <tableColumn id="3" xr3:uid="{D71B7CA4-BEE3-4980-926A-BB4077AF60A5}" name="Moment Arm (ft)" dataDxfId="3"/>
    <tableColumn id="4" xr3:uid="{5DC14B0F-87C5-4FC7-AB2D-DFF931516162}" name="Moment (ft-lb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9D90-66D9-45C2-AAC8-24B11C6CA877}">
  <dimension ref="A1:H20"/>
  <sheetViews>
    <sheetView workbookViewId="0">
      <selection activeCell="L4" sqref="L4"/>
    </sheetView>
  </sheetViews>
  <sheetFormatPr defaultRowHeight="14.4"/>
  <cols>
    <col min="1" max="1" width="10.5546875" bestFit="1" customWidth="1"/>
    <col min="2" max="2" width="14.5546875" bestFit="1" customWidth="1"/>
    <col min="3" max="3" width="19" bestFit="1" customWidth="1"/>
    <col min="4" max="4" width="17.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 s="1" t="s">
        <v>5</v>
      </c>
      <c r="B2" s="1">
        <f>4*16640</f>
        <v>66560</v>
      </c>
      <c r="C2" s="1">
        <v>111</v>
      </c>
      <c r="D2" s="1">
        <f>C2*B2</f>
        <v>7388160</v>
      </c>
      <c r="G2" t="s">
        <v>8</v>
      </c>
      <c r="H2" s="3">
        <f>D20/B20</f>
        <v>81.740872137045741</v>
      </c>
    </row>
    <row r="3" spans="1:8">
      <c r="A3" s="1" t="s">
        <v>4</v>
      </c>
      <c r="B3" s="1">
        <v>110564</v>
      </c>
      <c r="C3" s="1">
        <v>68.16</v>
      </c>
      <c r="D3" s="1">
        <f t="shared" ref="D3:D5" si="0">C3*B3</f>
        <v>7536042.2399999993</v>
      </c>
    </row>
    <row r="4" spans="1:8">
      <c r="A4" s="1" t="s">
        <v>6</v>
      </c>
      <c r="B4" s="1">
        <v>500000</v>
      </c>
      <c r="C4" s="1">
        <v>86.292000000000002</v>
      </c>
      <c r="D4" s="1">
        <f t="shared" si="0"/>
        <v>43146000</v>
      </c>
    </row>
    <row r="5" spans="1:8">
      <c r="A5" s="1" t="s">
        <v>7</v>
      </c>
      <c r="B5" s="1">
        <v>110000</v>
      </c>
      <c r="C5" s="1">
        <v>57</v>
      </c>
      <c r="D5" s="1">
        <f t="shared" si="0"/>
        <v>6270000</v>
      </c>
    </row>
    <row r="6" spans="1:8">
      <c r="A6" s="1"/>
      <c r="B6" s="1"/>
      <c r="C6" s="1"/>
      <c r="D6" s="1"/>
    </row>
    <row r="7" spans="1:8">
      <c r="A7" s="1"/>
      <c r="B7" s="1"/>
      <c r="C7" s="1"/>
      <c r="D7" s="1"/>
    </row>
    <row r="8" spans="1:8">
      <c r="A8" s="1"/>
      <c r="B8" s="1"/>
      <c r="C8" s="1"/>
      <c r="D8" s="1"/>
    </row>
    <row r="9" spans="1:8">
      <c r="A9" s="1"/>
      <c r="B9" s="1"/>
      <c r="C9" s="1"/>
      <c r="D9" s="1"/>
    </row>
    <row r="10" spans="1:8">
      <c r="A10" s="1"/>
      <c r="B10" s="1"/>
      <c r="C10" s="1"/>
      <c r="D10" s="1"/>
    </row>
    <row r="11" spans="1:8">
      <c r="A11" s="1"/>
      <c r="B11" s="1"/>
      <c r="C11" s="1"/>
      <c r="D11" s="1"/>
    </row>
    <row r="12" spans="1:8">
      <c r="A12" s="1"/>
      <c r="B12" s="1"/>
      <c r="C12" s="1"/>
      <c r="D12" s="1"/>
    </row>
    <row r="13" spans="1:8">
      <c r="A13" s="1"/>
      <c r="B13" s="1"/>
      <c r="C13" s="1"/>
      <c r="D13" s="1"/>
    </row>
    <row r="14" spans="1:8">
      <c r="A14" s="1"/>
      <c r="B14" s="1"/>
      <c r="C14" s="1"/>
      <c r="D14" s="1"/>
    </row>
    <row r="15" spans="1:8">
      <c r="A15" s="1"/>
      <c r="B15" s="1"/>
      <c r="C15" s="1"/>
      <c r="D15" s="1"/>
    </row>
    <row r="16" spans="1:8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 t="s">
        <v>9</v>
      </c>
      <c r="B20" s="2">
        <f>SUM(B2:B5)</f>
        <v>787124</v>
      </c>
      <c r="C20" s="1" t="s">
        <v>10</v>
      </c>
      <c r="D20" s="2">
        <f>SUM(D2:D5)</f>
        <v>64340202.239999995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8462-EEE6-43CD-AC53-DE3998B4CB79}">
  <dimension ref="B3:T96"/>
  <sheetViews>
    <sheetView tabSelected="1" workbookViewId="0">
      <selection activeCell="G95" sqref="G95"/>
    </sheetView>
  </sheetViews>
  <sheetFormatPr defaultRowHeight="14.4"/>
  <cols>
    <col min="2" max="2" width="10.21875" bestFit="1" customWidth="1"/>
    <col min="3" max="3" width="11.109375" bestFit="1" customWidth="1"/>
    <col min="4" max="4" width="10.6640625" bestFit="1" customWidth="1"/>
    <col min="5" max="5" width="12.33203125" bestFit="1" customWidth="1"/>
    <col min="6" max="6" width="13.109375" bestFit="1" customWidth="1"/>
    <col min="8" max="8" width="10.88671875" customWidth="1"/>
    <col min="9" max="9" width="11.33203125" bestFit="1" customWidth="1"/>
    <col min="11" max="11" width="9.88671875" bestFit="1" customWidth="1"/>
    <col min="12" max="12" width="11.88671875" bestFit="1" customWidth="1"/>
    <col min="13" max="13" width="10" bestFit="1" customWidth="1"/>
    <col min="14" max="14" width="10.5546875" bestFit="1" customWidth="1"/>
    <col min="16" max="16" width="13.5546875" bestFit="1" customWidth="1"/>
  </cols>
  <sheetData>
    <row r="3" spans="2:20" ht="15.6">
      <c r="B3" s="4" t="s">
        <v>11</v>
      </c>
      <c r="C3" s="5"/>
      <c r="D3" s="5"/>
      <c r="E3" s="5"/>
      <c r="F3" s="5"/>
    </row>
    <row r="5" spans="2:20">
      <c r="B5" s="6" t="s">
        <v>12</v>
      </c>
      <c r="C5" s="6"/>
      <c r="D5" s="6"/>
    </row>
    <row r="6" spans="2:20">
      <c r="B6" s="6" t="s">
        <v>13</v>
      </c>
      <c r="C6" s="6"/>
      <c r="D6" s="6"/>
      <c r="F6" s="6" t="s">
        <v>14</v>
      </c>
      <c r="G6" s="6"/>
      <c r="H6" s="6"/>
      <c r="J6" s="6" t="s">
        <v>15</v>
      </c>
      <c r="K6" s="6"/>
      <c r="L6" s="6"/>
      <c r="N6" s="6" t="s">
        <v>16</v>
      </c>
      <c r="O6" s="6"/>
      <c r="P6" s="6"/>
      <c r="Q6" s="5" t="s">
        <v>17</v>
      </c>
      <c r="R6" s="5"/>
      <c r="S6" s="5"/>
      <c r="T6" s="7"/>
    </row>
    <row r="7" spans="2:20">
      <c r="B7" t="s">
        <v>18</v>
      </c>
      <c r="C7" s="8">
        <v>11.4</v>
      </c>
      <c r="D7" t="s">
        <v>19</v>
      </c>
      <c r="F7" t="s">
        <v>18</v>
      </c>
      <c r="G7" s="8">
        <v>6.2</v>
      </c>
      <c r="H7" t="s">
        <v>19</v>
      </c>
      <c r="J7" t="s">
        <v>18</v>
      </c>
      <c r="K7" s="8"/>
      <c r="L7" t="s">
        <v>19</v>
      </c>
      <c r="N7" t="s">
        <v>20</v>
      </c>
      <c r="O7" s="8">
        <v>5.3</v>
      </c>
      <c r="P7" t="s">
        <v>19</v>
      </c>
      <c r="R7" t="s">
        <v>21</v>
      </c>
      <c r="S7" s="8">
        <v>0.21099999999999999</v>
      </c>
    </row>
    <row r="8" spans="2:20">
      <c r="B8" t="s">
        <v>22</v>
      </c>
      <c r="C8" s="8">
        <v>3.5</v>
      </c>
      <c r="D8" t="s">
        <v>19</v>
      </c>
      <c r="F8" t="s">
        <v>23</v>
      </c>
      <c r="G8" s="8">
        <v>3.847</v>
      </c>
      <c r="H8" t="s">
        <v>19</v>
      </c>
      <c r="J8" t="s">
        <v>23</v>
      </c>
      <c r="K8" s="8"/>
      <c r="L8" t="s">
        <v>19</v>
      </c>
      <c r="N8" t="s">
        <v>24</v>
      </c>
      <c r="O8" s="8">
        <v>-1</v>
      </c>
      <c r="P8" t="s">
        <v>19</v>
      </c>
      <c r="R8" t="s">
        <v>25</v>
      </c>
      <c r="S8" s="9">
        <f>O7+(S7*C17)+C19</f>
        <v>8.7461202698051608</v>
      </c>
      <c r="T8" t="s">
        <v>19</v>
      </c>
    </row>
    <row r="9" spans="2:20">
      <c r="B9" t="s">
        <v>26</v>
      </c>
      <c r="C9" s="8">
        <v>23.792000000000002</v>
      </c>
      <c r="D9" t="s">
        <v>19</v>
      </c>
      <c r="F9" t="s">
        <v>26</v>
      </c>
      <c r="G9" s="8">
        <v>7.4870000000000001</v>
      </c>
      <c r="H9" t="s">
        <v>19</v>
      </c>
      <c r="J9" t="s">
        <v>26</v>
      </c>
      <c r="K9" s="8"/>
      <c r="L9" t="s">
        <v>19</v>
      </c>
      <c r="N9" t="s">
        <v>27</v>
      </c>
      <c r="O9" s="8">
        <v>3.92</v>
      </c>
      <c r="P9" t="s">
        <v>28</v>
      </c>
    </row>
    <row r="10" spans="2:20">
      <c r="B10" t="s">
        <v>29</v>
      </c>
      <c r="C10" s="8">
        <v>21.391999999999999</v>
      </c>
      <c r="D10" t="s">
        <v>19</v>
      </c>
      <c r="F10" t="s">
        <v>29</v>
      </c>
      <c r="G10" s="8">
        <v>7.4870000000000001</v>
      </c>
      <c r="H10" t="s">
        <v>19</v>
      </c>
      <c r="J10" t="s">
        <v>29</v>
      </c>
      <c r="K10" s="8"/>
      <c r="L10" t="s">
        <v>19</v>
      </c>
    </row>
    <row r="11" spans="2:20">
      <c r="B11" t="s">
        <v>30</v>
      </c>
      <c r="C11" s="8">
        <v>10</v>
      </c>
      <c r="D11" t="s">
        <v>28</v>
      </c>
      <c r="F11" t="s">
        <v>30</v>
      </c>
      <c r="G11" s="8">
        <v>14</v>
      </c>
      <c r="H11" t="s">
        <v>28</v>
      </c>
      <c r="J11" t="s">
        <v>30</v>
      </c>
      <c r="K11" s="8"/>
      <c r="L11" t="s">
        <v>28</v>
      </c>
    </row>
    <row r="12" spans="2:20">
      <c r="B12" t="s">
        <v>31</v>
      </c>
      <c r="C12" s="8">
        <v>0</v>
      </c>
      <c r="F12" t="s">
        <v>31</v>
      </c>
      <c r="G12" s="8">
        <v>0</v>
      </c>
      <c r="J12" t="s">
        <v>31</v>
      </c>
      <c r="K12" s="8"/>
      <c r="N12" t="s">
        <v>32</v>
      </c>
      <c r="O12" s="8">
        <v>28</v>
      </c>
      <c r="P12" t="s">
        <v>19</v>
      </c>
    </row>
    <row r="13" spans="2:20">
      <c r="B13" t="s">
        <v>33</v>
      </c>
      <c r="C13" s="8">
        <v>-3.53</v>
      </c>
      <c r="D13" t="s">
        <v>28</v>
      </c>
      <c r="F13" t="s">
        <v>33</v>
      </c>
      <c r="G13" s="8">
        <v>0</v>
      </c>
      <c r="H13" t="s">
        <v>28</v>
      </c>
      <c r="J13" t="s">
        <v>33</v>
      </c>
      <c r="K13" s="8"/>
      <c r="L13" t="s">
        <v>28</v>
      </c>
      <c r="N13" t="s">
        <v>34</v>
      </c>
      <c r="O13" s="8">
        <v>2.4</v>
      </c>
      <c r="P13" t="s">
        <v>19</v>
      </c>
    </row>
    <row r="14" spans="2:20">
      <c r="B14" t="s">
        <v>35</v>
      </c>
      <c r="C14" s="8">
        <v>6</v>
      </c>
      <c r="D14" t="s">
        <v>28</v>
      </c>
      <c r="F14" t="s">
        <v>35</v>
      </c>
      <c r="G14" s="8">
        <v>0</v>
      </c>
      <c r="H14" t="s">
        <v>28</v>
      </c>
      <c r="J14" t="s">
        <v>35</v>
      </c>
      <c r="K14" s="8"/>
      <c r="L14" t="s">
        <v>28</v>
      </c>
      <c r="N14" t="s">
        <v>36</v>
      </c>
      <c r="O14" s="8">
        <v>-2</v>
      </c>
      <c r="P14" t="s">
        <v>28</v>
      </c>
    </row>
    <row r="15" spans="2:20" ht="15.6">
      <c r="B15" s="10"/>
    </row>
    <row r="16" spans="2:20" ht="16.2">
      <c r="B16" t="s">
        <v>37</v>
      </c>
      <c r="C16" s="11">
        <f>C8/C7</f>
        <v>0.30701754385964913</v>
      </c>
      <c r="F16" t="s">
        <v>38</v>
      </c>
      <c r="G16" s="11">
        <f>G8/G7</f>
        <v>0.62048387096774194</v>
      </c>
      <c r="J16" t="s">
        <v>38</v>
      </c>
      <c r="K16" s="11" t="e">
        <f>K8/K7</f>
        <v>#DIV/0!</v>
      </c>
      <c r="N16" t="s">
        <v>39</v>
      </c>
      <c r="O16" s="8">
        <v>8750</v>
      </c>
      <c r="P16" t="s">
        <v>40</v>
      </c>
    </row>
    <row r="17" spans="2:20" ht="15.6">
      <c r="B17" t="s">
        <v>41</v>
      </c>
      <c r="C17" s="12">
        <f>(2/3)*C7*((1+C16+(C16)^2)/(1+C16))</f>
        <v>8.1480984340044724</v>
      </c>
      <c r="D17" t="s">
        <v>19</v>
      </c>
      <c r="F17" t="s">
        <v>42</v>
      </c>
      <c r="G17" s="11">
        <f>(2/3)*G7*((1+G16+(G16)^2)/(1+G16))</f>
        <v>5.1153451444875744</v>
      </c>
      <c r="H17" t="s">
        <v>19</v>
      </c>
      <c r="J17" t="s">
        <v>42</v>
      </c>
      <c r="K17" s="11" t="e">
        <f>(2/3)*K7*((1+K16+(K16)^2)/(1+K16))</f>
        <v>#DIV/0!</v>
      </c>
      <c r="L17" t="s">
        <v>19</v>
      </c>
      <c r="N17" t="s">
        <v>43</v>
      </c>
      <c r="O17" s="8">
        <v>2.6</v>
      </c>
      <c r="P17" t="s">
        <v>19</v>
      </c>
    </row>
    <row r="18" spans="2:20" ht="15.6">
      <c r="B18" t="s">
        <v>44</v>
      </c>
      <c r="C18" s="11">
        <f>((C9*2)/6)*((1+(2*C16))/(1+C16))</f>
        <v>9.7935749440715885</v>
      </c>
      <c r="D18" t="s">
        <v>19</v>
      </c>
      <c r="F18" t="s">
        <v>45</v>
      </c>
      <c r="G18" s="11">
        <f>((G9*2)/6)*((1+(2*G16))/(1+G16))</f>
        <v>3.4512583524103384</v>
      </c>
      <c r="H18" t="s">
        <v>19</v>
      </c>
      <c r="J18" t="s">
        <v>45</v>
      </c>
      <c r="K18" s="11" t="e">
        <f>((K9*2)/6)*((1+(2*K16))/(1+K16))</f>
        <v>#DIV/0!</v>
      </c>
      <c r="L18" t="s">
        <v>19</v>
      </c>
    </row>
    <row r="19" spans="2:20" ht="15.6">
      <c r="B19" t="s">
        <v>46</v>
      </c>
      <c r="C19" s="12">
        <f>C18*TAN(RADIANS(C11))</f>
        <v>1.7268715002302168</v>
      </c>
      <c r="D19" t="s">
        <v>19</v>
      </c>
      <c r="F19" t="s">
        <v>47</v>
      </c>
      <c r="G19" s="13">
        <f>G18*TAN(RADIANS(G11))</f>
        <v>0.86049535230231589</v>
      </c>
      <c r="H19" t="s">
        <v>19</v>
      </c>
      <c r="J19" t="s">
        <v>47</v>
      </c>
      <c r="K19" s="13" t="e">
        <f>K18*TAN(RADIANS(K11))</f>
        <v>#DIV/0!</v>
      </c>
      <c r="L19" t="s">
        <v>19</v>
      </c>
    </row>
    <row r="20" spans="2:20" ht="15.6">
      <c r="B20" t="s">
        <v>48</v>
      </c>
      <c r="C20" s="11">
        <f>C9*C7*(1+C16)</f>
        <v>354.50080000000008</v>
      </c>
      <c r="D20" t="s">
        <v>49</v>
      </c>
      <c r="F20" t="s">
        <v>50</v>
      </c>
      <c r="G20" s="11">
        <f>G9*G7*(1+G16)</f>
        <v>75.221889000000004</v>
      </c>
      <c r="H20" t="s">
        <v>49</v>
      </c>
      <c r="J20" t="s">
        <v>50</v>
      </c>
      <c r="K20" s="11" t="e">
        <f>K9*K7*(1+K16)</f>
        <v>#DIV/0!</v>
      </c>
      <c r="L20" t="s">
        <v>49</v>
      </c>
      <c r="N20" s="14" t="s">
        <v>51</v>
      </c>
      <c r="R20" s="14" t="s">
        <v>52</v>
      </c>
    </row>
    <row r="21" spans="2:20" ht="15.6">
      <c r="B21" t="s">
        <v>53</v>
      </c>
      <c r="C21" s="15">
        <f>((2*C9)^2)/C20</f>
        <v>6.3871140939597311</v>
      </c>
      <c r="F21" t="s">
        <v>54</v>
      </c>
      <c r="G21" s="15">
        <f>((2*G9)^2)/G20</f>
        <v>2.98079028565741</v>
      </c>
      <c r="J21" t="s">
        <v>54</v>
      </c>
      <c r="K21" s="15" t="e">
        <f>((2*K9)^2)/K20</f>
        <v>#DIV/0!</v>
      </c>
      <c r="N21" t="s">
        <v>55</v>
      </c>
      <c r="O21" s="16">
        <v>1.756E-3</v>
      </c>
      <c r="P21" t="s">
        <v>56</v>
      </c>
      <c r="R21" t="s">
        <v>57</v>
      </c>
      <c r="S21" s="8">
        <v>300</v>
      </c>
      <c r="T21" t="s">
        <v>58</v>
      </c>
    </row>
    <row r="22" spans="2:20" ht="16.2">
      <c r="B22" t="s">
        <v>59</v>
      </c>
      <c r="C22" s="11">
        <f>C11</f>
        <v>10</v>
      </c>
      <c r="D22" t="s">
        <v>28</v>
      </c>
      <c r="F22" t="s">
        <v>60</v>
      </c>
      <c r="G22" s="11">
        <f>G11</f>
        <v>14</v>
      </c>
      <c r="H22" t="s">
        <v>28</v>
      </c>
      <c r="J22" t="s">
        <v>60</v>
      </c>
      <c r="K22" s="11">
        <f>K11</f>
        <v>0</v>
      </c>
      <c r="L22" t="s">
        <v>28</v>
      </c>
      <c r="N22" t="s">
        <v>61</v>
      </c>
      <c r="O22" s="16">
        <v>2.0129999999999999E-4</v>
      </c>
      <c r="R22" t="s">
        <v>62</v>
      </c>
      <c r="S22" s="8">
        <v>2000</v>
      </c>
      <c r="T22" t="s">
        <v>63</v>
      </c>
    </row>
    <row r="23" spans="2:20" ht="16.2">
      <c r="B23" t="s">
        <v>64</v>
      </c>
      <c r="C23" s="15">
        <f>DEGREES(ATAN((TAN(RADIANS(C22))-(((4*0.25*(1-C16)))/(C21*(1+C16))))))</f>
        <v>5.3311677715964816</v>
      </c>
      <c r="D23" t="s">
        <v>28</v>
      </c>
      <c r="F23" t="s">
        <v>65</v>
      </c>
      <c r="G23" s="13">
        <f>DEGREES(ATAN((TAN(RADIANS(G22))-(((4*0.25*(1-G16)))/(G21*(1+G16))))))</f>
        <v>9.6902771983410982</v>
      </c>
      <c r="H23" t="s">
        <v>28</v>
      </c>
      <c r="J23" t="s">
        <v>65</v>
      </c>
      <c r="K23" s="13" t="e">
        <f>DEGREES(ATAN((TAN(RADIANS(K22))-(((4*0.25*(1-K16)))/(K21*(1+K16))))))</f>
        <v>#DIV/0!</v>
      </c>
      <c r="L23" t="s">
        <v>28</v>
      </c>
      <c r="N23" t="s">
        <v>66</v>
      </c>
      <c r="O23" s="8">
        <v>0.73860000000000003</v>
      </c>
    </row>
    <row r="24" spans="2:20" ht="16.2">
      <c r="B24" t="s">
        <v>67</v>
      </c>
      <c r="C24" s="13">
        <f>DEGREES(ATAN((TAN(RADIANS(C22))-(((4*0.5*(1-C16)))/(C21*(1+C16))))))</f>
        <v>0.59039998532095972</v>
      </c>
      <c r="D24" t="s">
        <v>28</v>
      </c>
      <c r="F24" t="s">
        <v>68</v>
      </c>
      <c r="G24" s="13">
        <f>DEGREES(ATAN((TAN(RADIANS(G22))-(((4*0.5*(1-G16)))/(G21*(1+G16))))))</f>
        <v>5.2671506038883287</v>
      </c>
      <c r="H24" t="s">
        <v>28</v>
      </c>
      <c r="J24" t="s">
        <v>68</v>
      </c>
      <c r="K24" s="13" t="e">
        <f>DEGREES(ATAN((TAN(RADIANS(K22))-(((4*0.5*(1-K16)))/(K21*(1+K16))))))</f>
        <v>#DIV/0!</v>
      </c>
      <c r="L24" t="s">
        <v>28</v>
      </c>
      <c r="N24" t="s">
        <v>69</v>
      </c>
      <c r="O24" s="8">
        <v>1077.4000000000001</v>
      </c>
      <c r="P24" t="s">
        <v>70</v>
      </c>
    </row>
    <row r="25" spans="2:20" ht="16.2">
      <c r="B25" t="s">
        <v>71</v>
      </c>
      <c r="C25" s="13">
        <f>DEGREES(ATAN((TAN(RADIANS(C22))-(((4*1*(1-C16)))/(C21*(1+C16))))))</f>
        <v>-8.8508684800814788</v>
      </c>
      <c r="D25" t="s">
        <v>28</v>
      </c>
      <c r="F25" t="s">
        <v>72</v>
      </c>
      <c r="G25" s="13">
        <f>DEGREES(ATAN((TAN(RADIANS(G22))-(((4*1*(1-G16)))/(G21*(1+G16))))))</f>
        <v>-3.7161457445652082</v>
      </c>
      <c r="H25" t="s">
        <v>28</v>
      </c>
      <c r="J25" t="s">
        <v>72</v>
      </c>
      <c r="K25" s="13" t="e">
        <f>DEGREES(ATAN((TAN(RADIANS(K22))-(((4*1*(1-K16)))/(K21*(1+K16))))))</f>
        <v>#DIV/0!</v>
      </c>
      <c r="L25" t="s">
        <v>28</v>
      </c>
    </row>
    <row r="26" spans="2:20" ht="15.6">
      <c r="B26" t="s">
        <v>73</v>
      </c>
      <c r="C26" s="17">
        <v>0.99467000000000005</v>
      </c>
      <c r="G26" s="18"/>
    </row>
    <row r="29" spans="2:20">
      <c r="B29" s="6" t="s">
        <v>74</v>
      </c>
      <c r="C29" s="6"/>
      <c r="D29" s="6"/>
    </row>
    <row r="30" spans="2:20">
      <c r="B30" s="6" t="s">
        <v>4</v>
      </c>
      <c r="C30" s="6"/>
      <c r="D30" s="6"/>
      <c r="F30" s="6" t="s">
        <v>75</v>
      </c>
      <c r="G30" s="6"/>
      <c r="H30" s="6"/>
    </row>
    <row r="31" spans="2:20">
      <c r="B31" s="14" t="s">
        <v>76</v>
      </c>
      <c r="C31" s="19" t="s">
        <v>77</v>
      </c>
      <c r="F31" s="14" t="s">
        <v>76</v>
      </c>
      <c r="G31" s="19">
        <v>12</v>
      </c>
    </row>
    <row r="32" spans="2:20" ht="15.6">
      <c r="B32" t="s">
        <v>78</v>
      </c>
      <c r="C32" s="8">
        <v>1.7</v>
      </c>
      <c r="F32" t="s">
        <v>78</v>
      </c>
      <c r="G32" s="8">
        <v>1.44</v>
      </c>
    </row>
    <row r="33" spans="2:8" ht="16.2">
      <c r="B33" t="s">
        <v>79</v>
      </c>
      <c r="C33" s="8">
        <v>-1.2</v>
      </c>
      <c r="D33" t="s">
        <v>28</v>
      </c>
      <c r="F33" t="s">
        <v>79</v>
      </c>
      <c r="G33" s="8">
        <v>0</v>
      </c>
      <c r="H33" t="s">
        <v>28</v>
      </c>
    </row>
    <row r="34" spans="2:8" ht="16.8">
      <c r="B34" t="s">
        <v>80</v>
      </c>
      <c r="C34" s="8">
        <v>0.104</v>
      </c>
      <c r="D34" t="s">
        <v>81</v>
      </c>
      <c r="F34" t="s">
        <v>80</v>
      </c>
      <c r="G34" s="20">
        <v>0.1</v>
      </c>
      <c r="H34" t="s">
        <v>81</v>
      </c>
    </row>
    <row r="35" spans="2:8" ht="16.2">
      <c r="C35" s="9">
        <f>C34*(180/PI())</f>
        <v>5.9587610693605617</v>
      </c>
      <c r="D35" t="s">
        <v>82</v>
      </c>
      <c r="G35" s="9">
        <f>G34*(180/PI())</f>
        <v>5.729577951308233</v>
      </c>
      <c r="H35" t="s">
        <v>82</v>
      </c>
    </row>
    <row r="36" spans="2:8" ht="15.6">
      <c r="B36" t="s">
        <v>83</v>
      </c>
      <c r="C36" s="8">
        <v>-0.01</v>
      </c>
      <c r="F36" t="s">
        <v>83</v>
      </c>
      <c r="G36" s="8">
        <v>0</v>
      </c>
    </row>
    <row r="37" spans="2:8">
      <c r="B37" t="s">
        <v>84</v>
      </c>
      <c r="C37" s="8">
        <v>0.245</v>
      </c>
      <c r="F37" t="s">
        <v>84</v>
      </c>
      <c r="G37" s="8">
        <v>0.25</v>
      </c>
    </row>
    <row r="38" spans="2:8" ht="15.6">
      <c r="B38" t="s">
        <v>85</v>
      </c>
      <c r="C38" s="8">
        <v>0.66349999999999998</v>
      </c>
      <c r="F38" t="s">
        <v>85</v>
      </c>
      <c r="G38" s="8">
        <v>0.74399999999999999</v>
      </c>
    </row>
    <row r="40" spans="2:8" ht="15.6">
      <c r="B40" t="s">
        <v>86</v>
      </c>
      <c r="C40" s="9">
        <f>C38/(COS(RADIANS(C22)))</f>
        <v>0.67373555698619181</v>
      </c>
      <c r="F40" t="s">
        <v>86</v>
      </c>
      <c r="G40" s="9">
        <f>G38/(COS(RADIANS(G22)))</f>
        <v>0.76677654023632413</v>
      </c>
    </row>
    <row r="41" spans="2:8" ht="15.6">
      <c r="B41" t="s">
        <v>87</v>
      </c>
      <c r="C41" s="8">
        <v>0.28699999999999998</v>
      </c>
      <c r="F41" t="s">
        <v>87</v>
      </c>
      <c r="G41" s="8">
        <v>0.28699999999999998</v>
      </c>
    </row>
    <row r="42" spans="2:8" ht="15.6">
      <c r="B42" s="21" t="s">
        <v>88</v>
      </c>
      <c r="C42" s="9">
        <f>(C35/(2*PI()))</f>
        <v>0.94836627889228164</v>
      </c>
      <c r="F42" s="21" t="s">
        <v>88</v>
      </c>
      <c r="G42" s="9">
        <f>(G35/(2*PI()))</f>
        <v>0.91189065278104009</v>
      </c>
    </row>
    <row r="43" spans="2:8" ht="15.6">
      <c r="B43" s="21" t="s">
        <v>89</v>
      </c>
      <c r="C43" s="9">
        <f>SQRT(1-C41^2)</f>
        <v>0.95793058203608883</v>
      </c>
      <c r="F43" s="21" t="s">
        <v>89</v>
      </c>
      <c r="G43" s="9">
        <f>SQRT(1-G41^2)</f>
        <v>0.95793058203608883</v>
      </c>
    </row>
    <row r="44" spans="2:8" ht="16.8">
      <c r="B44" t="s">
        <v>90</v>
      </c>
      <c r="C44" s="9">
        <f>(((2*PI()*C21))/(2+SQRT((((((C43*C21)/C42)^2)*((1+(((TAN(RADIANS(C24)))^2)/(C43^2)))))+4))))</f>
        <v>4.5839447347072682</v>
      </c>
      <c r="D44" t="s">
        <v>82</v>
      </c>
      <c r="F44" t="s">
        <v>91</v>
      </c>
      <c r="G44" s="9">
        <f>(((2*PI()*G21))/(2+SQRT((((((G43*G21)/G42)^2)*((1+(((TAN(RADIANS(G24)))^2)/(G43^2)))))+4))))</f>
        <v>3.2698730588957146</v>
      </c>
      <c r="H44" t="s">
        <v>82</v>
      </c>
    </row>
    <row r="45" spans="2:8" ht="16.2">
      <c r="C45" s="12">
        <f>C44*(PI()/180)</f>
        <v>8.0004928350099813E-2</v>
      </c>
      <c r="D45" t="s">
        <v>81</v>
      </c>
      <c r="G45" s="12">
        <f>G44*(PI()/180)</f>
        <v>5.7070050999988679E-2</v>
      </c>
      <c r="H45" t="s">
        <v>81</v>
      </c>
    </row>
    <row r="48" spans="2:8">
      <c r="D48" s="22" t="s">
        <v>92</v>
      </c>
      <c r="E48" s="22"/>
      <c r="F48" s="22"/>
    </row>
    <row r="49" spans="2:16" ht="15.6">
      <c r="D49" t="s">
        <v>93</v>
      </c>
      <c r="E49" s="11">
        <f>(2*C44)/(PI()*C26*C21)</f>
        <v>0.45934162494349995</v>
      </c>
    </row>
    <row r="51" spans="2:16">
      <c r="B51" s="6" t="s">
        <v>94</v>
      </c>
      <c r="C51" s="6"/>
      <c r="D51" s="6"/>
      <c r="E51" s="6"/>
      <c r="G51" s="6" t="s">
        <v>95</v>
      </c>
      <c r="H51" s="6"/>
      <c r="I51" s="6"/>
      <c r="N51" s="6" t="s">
        <v>96</v>
      </c>
      <c r="O51" s="6"/>
    </row>
    <row r="52" spans="2:16" ht="15.6">
      <c r="B52" s="21" t="s">
        <v>97</v>
      </c>
      <c r="C52">
        <f>-C13</f>
        <v>3.53</v>
      </c>
      <c r="D52" s="22" t="s">
        <v>98</v>
      </c>
      <c r="E52" s="22"/>
      <c r="F52" s="23" t="s">
        <v>99</v>
      </c>
      <c r="G52" s="23"/>
      <c r="H52" s="8">
        <f>C13+(C54-C55)</f>
        <v>-3.53</v>
      </c>
      <c r="K52" t="s">
        <v>100</v>
      </c>
      <c r="L52">
        <f>TAN(RADIANS(C22))/C43</f>
        <v>0.18407072914791031</v>
      </c>
      <c r="N52" t="s">
        <v>101</v>
      </c>
      <c r="O52" s="24">
        <v>0.32651999999999998</v>
      </c>
      <c r="P52" t="s">
        <v>102</v>
      </c>
    </row>
    <row r="53" spans="2:16" ht="15.6">
      <c r="B53" t="s">
        <v>103</v>
      </c>
      <c r="C53" s="25">
        <v>15</v>
      </c>
      <c r="D53" t="s">
        <v>104</v>
      </c>
      <c r="G53" s="21" t="s">
        <v>105</v>
      </c>
      <c r="H53" s="24">
        <v>-0.39069999999999999</v>
      </c>
      <c r="I53" t="s">
        <v>106</v>
      </c>
      <c r="K53" t="s">
        <v>107</v>
      </c>
      <c r="L53">
        <f>C43/TAN(RADIANS(C22))</f>
        <v>5.4326942943570815</v>
      </c>
      <c r="N53" t="s">
        <v>108</v>
      </c>
      <c r="O53">
        <f>O52*C7</f>
        <v>3.7223279999999996</v>
      </c>
    </row>
    <row r="54" spans="2:16" ht="16.2">
      <c r="B54" t="s">
        <v>109</v>
      </c>
      <c r="C54" s="8">
        <v>-1.2</v>
      </c>
      <c r="D54" t="s">
        <v>28</v>
      </c>
      <c r="F54" s="26" t="s">
        <v>110</v>
      </c>
      <c r="G54" s="26"/>
      <c r="H54" s="27">
        <f>C41*COS(RADIANS(C23))</f>
        <v>0.2857585249864063</v>
      </c>
      <c r="N54" t="s">
        <v>111</v>
      </c>
      <c r="O54" s="18">
        <f>O53-C19</f>
        <v>1.9954564997697828</v>
      </c>
    </row>
    <row r="55" spans="2:16" ht="16.2">
      <c r="B55" t="s">
        <v>112</v>
      </c>
      <c r="C55" s="8">
        <v>-1.2</v>
      </c>
      <c r="D55" t="s">
        <v>28</v>
      </c>
      <c r="G55" s="28" t="s">
        <v>113</v>
      </c>
      <c r="H55">
        <v>1</v>
      </c>
      <c r="N55" t="s">
        <v>114</v>
      </c>
      <c r="O55" s="12">
        <f>O54/C17</f>
        <v>0.24489842825684835</v>
      </c>
    </row>
    <row r="56" spans="2:16" ht="16.2">
      <c r="G56" t="s">
        <v>115</v>
      </c>
      <c r="H56" s="11">
        <f>(C33+(H53*H52))*H55</f>
        <v>0.17917099999999997</v>
      </c>
      <c r="I56" t="s">
        <v>28</v>
      </c>
    </row>
    <row r="59" spans="2:16">
      <c r="G59" s="6" t="s">
        <v>116</v>
      </c>
      <c r="H59" s="6"/>
      <c r="I59" s="14"/>
    </row>
    <row r="60" spans="2:16" ht="16.2">
      <c r="D60" t="s">
        <v>117</v>
      </c>
      <c r="E60">
        <v>-5.0000000000000001E-3</v>
      </c>
      <c r="G60" s="21" t="s">
        <v>118</v>
      </c>
      <c r="H60" s="25">
        <v>-1.098E-3</v>
      </c>
    </row>
    <row r="61" spans="2:16">
      <c r="D61" t="s">
        <v>119</v>
      </c>
      <c r="E61">
        <v>-1.4999999999999999E-2</v>
      </c>
      <c r="F61" s="29" t="s">
        <v>120</v>
      </c>
      <c r="G61" s="29"/>
      <c r="H61" s="25">
        <v>1</v>
      </c>
    </row>
    <row r="62" spans="2:16">
      <c r="D62" t="s">
        <v>121</v>
      </c>
      <c r="E62">
        <f>(E60+E61)/2</f>
        <v>-0.01</v>
      </c>
      <c r="G62" t="s">
        <v>122</v>
      </c>
      <c r="H62" s="30">
        <f>(((E62*((C21*(COS(RADIANS(C23))^2))))/((C21+(2*COS(RADIANS(C23))))))+(H60*H52))*H61</f>
        <v>-3.6815038827601406E-3</v>
      </c>
      <c r="I62" t="s">
        <v>28</v>
      </c>
    </row>
    <row r="66" spans="2:20" ht="15.6">
      <c r="B66" s="31" t="s">
        <v>123</v>
      </c>
      <c r="C66" s="31"/>
      <c r="D66" s="31"/>
      <c r="E66" s="31"/>
    </row>
    <row r="67" spans="2:20" ht="15.6">
      <c r="B67" s="31" t="s">
        <v>124</v>
      </c>
      <c r="C67" s="31"/>
      <c r="G67" s="6" t="s">
        <v>125</v>
      </c>
      <c r="H67" s="6"/>
      <c r="K67" s="14" t="s">
        <v>126</v>
      </c>
    </row>
    <row r="68" spans="2:20" ht="15.6">
      <c r="B68" s="22" t="s">
        <v>127</v>
      </c>
      <c r="C68" s="31"/>
      <c r="G68" t="s">
        <v>128</v>
      </c>
      <c r="H68">
        <f>O7+(0.25*C7)</f>
        <v>8.15</v>
      </c>
      <c r="I68" t="s">
        <v>19</v>
      </c>
      <c r="K68" t="s">
        <v>129</v>
      </c>
      <c r="L68">
        <f>6250*C17*12</f>
        <v>611107.38255033549</v>
      </c>
      <c r="N68" t="s">
        <v>130</v>
      </c>
      <c r="O68">
        <v>30</v>
      </c>
      <c r="P68" t="s">
        <v>131</v>
      </c>
      <c r="R68" t="s">
        <v>132</v>
      </c>
      <c r="S68" s="8">
        <v>10.8</v>
      </c>
      <c r="T68" t="s">
        <v>19</v>
      </c>
    </row>
    <row r="69" spans="2:20">
      <c r="B69" t="s">
        <v>133</v>
      </c>
      <c r="C69" s="8">
        <v>33.957999999999998</v>
      </c>
      <c r="D69" t="s">
        <v>19</v>
      </c>
      <c r="G69" t="s">
        <v>134</v>
      </c>
      <c r="H69" s="32">
        <f>H68/C69</f>
        <v>0.2400023558513458</v>
      </c>
      <c r="K69" t="s">
        <v>135</v>
      </c>
      <c r="L69">
        <f>1.5778+(0.0944*(1-C41))</f>
        <v>1.6451072</v>
      </c>
      <c r="N69" t="s">
        <v>136</v>
      </c>
      <c r="O69">
        <v>1.2</v>
      </c>
      <c r="R69" t="s">
        <v>137</v>
      </c>
      <c r="S69">
        <f>C10*(S68+C8)</f>
        <v>305.90559999999999</v>
      </c>
    </row>
    <row r="70" spans="2:20" ht="16.2">
      <c r="B70" t="s">
        <v>138</v>
      </c>
      <c r="C70" s="8">
        <v>4.8</v>
      </c>
      <c r="D70" t="s">
        <v>19</v>
      </c>
      <c r="G70" t="s">
        <v>139</v>
      </c>
      <c r="H70" s="32">
        <f>0.002322*EXP(5.037*(H69))</f>
        <v>7.7781673374227112E-3</v>
      </c>
      <c r="K70" t="s">
        <v>140</v>
      </c>
      <c r="L70" s="33">
        <f>(L68^1.0485)*(10^L69)</f>
        <v>51505241.815760836</v>
      </c>
      <c r="N70" t="s">
        <v>141</v>
      </c>
      <c r="O70">
        <f>DEGREES(ATAN((TAN(RADIANS(C23))-(((4*(0.3-0.25)*(1-C16)))/(C21*(1+C16))))))</f>
        <v>4.3867773412822482</v>
      </c>
      <c r="P70" s="32"/>
      <c r="R70" t="s">
        <v>142</v>
      </c>
      <c r="S70" s="8">
        <v>15</v>
      </c>
    </row>
    <row r="71" spans="2:20" ht="16.2">
      <c r="G71" t="s">
        <v>143</v>
      </c>
      <c r="H71" s="30">
        <f>(H70*C70*C70*C69)/(C20*C17)</f>
        <v>2.1068245698049395E-3</v>
      </c>
      <c r="I71" t="s">
        <v>144</v>
      </c>
      <c r="K71" t="s">
        <v>145</v>
      </c>
      <c r="L71" s="33">
        <f>((C41*O24)*C17)/O22</f>
        <v>12516167.310246259</v>
      </c>
      <c r="N71" t="s">
        <v>146</v>
      </c>
      <c r="O71">
        <f>COS(RADIANS(O70))</f>
        <v>0.99707043081104896</v>
      </c>
      <c r="R71" t="s">
        <v>147</v>
      </c>
      <c r="S71" s="8">
        <v>15</v>
      </c>
    </row>
    <row r="72" spans="2:20">
      <c r="K72" t="s">
        <v>148</v>
      </c>
      <c r="L72" s="33">
        <f>IF(L70&gt;L71, L71,L70)</f>
        <v>12516167.310246259</v>
      </c>
      <c r="N72" t="s">
        <v>149</v>
      </c>
      <c r="O72" s="24">
        <v>1.0900000000000001</v>
      </c>
      <c r="P72" t="s">
        <v>150</v>
      </c>
      <c r="R72" t="s">
        <v>103</v>
      </c>
      <c r="S72">
        <f>(S71+S70)/2</f>
        <v>15</v>
      </c>
    </row>
    <row r="73" spans="2:20" ht="15.6">
      <c r="B73" s="4"/>
    </row>
    <row r="74" spans="2:20">
      <c r="B74" s="22"/>
      <c r="C74" s="22"/>
      <c r="N74" t="s">
        <v>151</v>
      </c>
      <c r="O74">
        <v>2.7000000000000001E-3</v>
      </c>
      <c r="P74" t="s">
        <v>152</v>
      </c>
    </row>
    <row r="75" spans="2:20">
      <c r="C75" s="8"/>
      <c r="F75" s="32"/>
      <c r="N75" t="s">
        <v>153</v>
      </c>
      <c r="O75">
        <f>(1.977+(0.52*(S72/100)))*S69</f>
        <v>628.63600800000006</v>
      </c>
      <c r="P75" t="s">
        <v>154</v>
      </c>
    </row>
    <row r="76" spans="2:20">
      <c r="C76" s="8"/>
      <c r="F76" s="34"/>
      <c r="N76" t="s">
        <v>155</v>
      </c>
      <c r="O76" s="11">
        <f>O74*(1+(O69*(S72/100))+(100*(S72/100)^4))*O72*(O75/C20)</f>
        <v>6.4224100378795605E-3</v>
      </c>
    </row>
    <row r="77" spans="2:20">
      <c r="C77" s="8"/>
      <c r="F77" s="32"/>
    </row>
    <row r="78" spans="2:20">
      <c r="C78" s="8"/>
      <c r="F78" s="32"/>
    </row>
    <row r="79" spans="2:20">
      <c r="F79" s="35"/>
    </row>
    <row r="80" spans="2:20">
      <c r="F80" s="35"/>
    </row>
    <row r="82" spans="2:16" ht="15.6">
      <c r="B82" s="14" t="s">
        <v>156</v>
      </c>
      <c r="K82" s="14" t="s">
        <v>157</v>
      </c>
    </row>
    <row r="83" spans="2:16" ht="15.6">
      <c r="B83" t="s">
        <v>158</v>
      </c>
      <c r="C83" s="27">
        <f>(O12+(G19+(G37*G17))*COS(RADIANS(O14)))-(O7+(C7*COS(RADIANS(O9))))</f>
        <v>13.464698986275017</v>
      </c>
      <c r="E83" t="s">
        <v>159</v>
      </c>
      <c r="F83" s="27">
        <f>C89-C88</f>
        <v>2.4851267349588939</v>
      </c>
      <c r="H83" t="s">
        <v>160</v>
      </c>
      <c r="I83" s="32">
        <f>0.68*C17*(O76*(0.15+(F88/C17)))^0.5</f>
        <v>0.59962057994068219</v>
      </c>
      <c r="K83" t="s">
        <v>161</v>
      </c>
      <c r="L83" s="32">
        <f>(1/C21)-(1/(1+(C21^1.7)))</f>
        <v>0.11556371058329951</v>
      </c>
      <c r="N83" t="s">
        <v>93</v>
      </c>
      <c r="O83">
        <f>4.44*(L83*L84*L87*((COS(RADIANS(C23)))^0.5))^1.19</f>
        <v>0.42596171882871042</v>
      </c>
    </row>
    <row r="84" spans="2:16">
      <c r="B84" t="s">
        <v>162</v>
      </c>
      <c r="C84" s="27">
        <f>(O13-(G19+(G37*G17))*SIN(RADIANS(O14)))-(O8-C7*SIN(RADIANS(O9)))</f>
        <v>4.2540059993533648</v>
      </c>
      <c r="E84" t="s">
        <v>163</v>
      </c>
      <c r="F84" s="27">
        <f>C83/COS(RADIANS(F83))</f>
        <v>13.477374309015474</v>
      </c>
      <c r="H84" t="s">
        <v>164</v>
      </c>
      <c r="I84">
        <f>IF(I83&lt;F90, 1, 0)</f>
        <v>1</v>
      </c>
      <c r="K84" t="s">
        <v>165</v>
      </c>
      <c r="L84" s="32">
        <f>(10-(3*C16))/7</f>
        <v>1.2969924812030076</v>
      </c>
      <c r="N84" t="s">
        <v>166</v>
      </c>
      <c r="O84">
        <f>(((2*PI()*C21))/(2+SQRT((((((1*C21)/C42)^2)*((1+(((TAN(RADIANS(C24)))^2)/(1^2)))))+4))))</f>
        <v>4.4462555465907352</v>
      </c>
      <c r="P84" t="s">
        <v>167</v>
      </c>
    </row>
    <row r="85" spans="2:16">
      <c r="B85" t="s">
        <v>168</v>
      </c>
      <c r="C85" s="27">
        <f>DEGREES(ATAN((C84/C83)))</f>
        <v>17.533290550186088</v>
      </c>
      <c r="E85" t="s">
        <v>169</v>
      </c>
      <c r="F85" s="27">
        <f>C83*TAN(RADIANS(F83))</f>
        <v>0.58437956356709819</v>
      </c>
      <c r="K85" t="s">
        <v>170</v>
      </c>
      <c r="L85" s="32">
        <f>((C83-(C84*TAN(RADIANS(O9))))*SIN(RADIANS(O9))+(C84/COS(RADIANS(O9))))</f>
        <v>5.1645481931765191</v>
      </c>
      <c r="O85">
        <f>O84*PI()/180</f>
        <v>7.7601798673068462E-2</v>
      </c>
      <c r="P85" t="s">
        <v>144</v>
      </c>
    </row>
    <row r="86" spans="2:16" ht="15.6">
      <c r="B86" t="s">
        <v>55</v>
      </c>
      <c r="C86" s="27">
        <f>C85+O9</f>
        <v>21.45329055018609</v>
      </c>
      <c r="E86" t="s">
        <v>171</v>
      </c>
      <c r="F86" s="27">
        <f>C84-F85</f>
        <v>3.6696264357862667</v>
      </c>
      <c r="K86" t="s">
        <v>172</v>
      </c>
      <c r="L86" s="32">
        <f>((C83-(C84*TAN(RADIANS(O9))))*COS(RADIANS(O9))+(C7-(C19+(0.25*C17))))</f>
        <v>20.778482967900381</v>
      </c>
      <c r="N86" t="s">
        <v>173</v>
      </c>
      <c r="O86">
        <f>O83*(C45/O85)</f>
        <v>0.43915266627194038</v>
      </c>
    </row>
    <row r="87" spans="2:16">
      <c r="B87" t="s">
        <v>174</v>
      </c>
      <c r="C87" s="8">
        <v>0.29410999999999998</v>
      </c>
      <c r="E87" t="s">
        <v>175</v>
      </c>
      <c r="F87" s="27">
        <f>F86*SIN(RADIANS(F83))</f>
        <v>0.15911516930746411</v>
      </c>
      <c r="K87" t="s">
        <v>176</v>
      </c>
      <c r="L87" s="32">
        <f>(1-(L85/(2*C9)))/(((L86/C9))^(1/3))</f>
        <v>0.93263092003480308</v>
      </c>
    </row>
    <row r="88" spans="2:16">
      <c r="B88" t="s">
        <v>177</v>
      </c>
      <c r="C88" s="27">
        <f>57.3*(1.62*C87)/(PI()*C26*C21)</f>
        <v>1.3678732650411061</v>
      </c>
      <c r="E88" t="s">
        <v>178</v>
      </c>
      <c r="F88" s="27">
        <f>F87+F84</f>
        <v>13.636489478322938</v>
      </c>
    </row>
    <row r="89" spans="2:16">
      <c r="B89" t="s">
        <v>179</v>
      </c>
      <c r="C89" s="27">
        <v>3.8530000000000002</v>
      </c>
      <c r="E89" t="s">
        <v>180</v>
      </c>
      <c r="F89" s="27">
        <f>F86*COS(RADIANS(F83))</f>
        <v>3.6661751923656998</v>
      </c>
    </row>
    <row r="90" spans="2:16">
      <c r="B90" t="s">
        <v>181</v>
      </c>
      <c r="C90" s="27">
        <f>C89+O9</f>
        <v>7.7729999999999997</v>
      </c>
      <c r="E90" t="s">
        <v>182</v>
      </c>
      <c r="F90" s="27">
        <f>F88*TAN(RADIANS(C86-C90+C88))</f>
        <v>3.6661751923656998</v>
      </c>
    </row>
    <row r="92" spans="2:16">
      <c r="B92" s="14" t="s">
        <v>185</v>
      </c>
    </row>
    <row r="93" spans="2:16">
      <c r="B93" t="s">
        <v>186</v>
      </c>
      <c r="C93">
        <f>(C45*(O9-H56))+(G45*I84*(G20/C20)*(O14-(O86*(O9-H56))))</f>
        <v>0.25517140895005197</v>
      </c>
      <c r="F93" t="s">
        <v>187</v>
      </c>
      <c r="G93">
        <f>C96/C94</f>
        <v>-6.9728122894430634E-3</v>
      </c>
      <c r="J93" t="s">
        <v>188</v>
      </c>
      <c r="K93" s="3">
        <f>G93+G94+G95</f>
        <v>5.3027187710556936E-2</v>
      </c>
    </row>
    <row r="94" spans="2:16" ht="15.6">
      <c r="B94" t="s">
        <v>189</v>
      </c>
      <c r="C94">
        <f>(C45)+(G45*I84*(G20/C20)*(1-(O86)))</f>
        <v>8.6796650898163269E-2</v>
      </c>
      <c r="D94" t="s">
        <v>144</v>
      </c>
      <c r="E94" s="7"/>
      <c r="F94" s="7" t="s">
        <v>190</v>
      </c>
      <c r="G94">
        <f>C105/(C94+C103)</f>
        <v>0</v>
      </c>
      <c r="J94" t="s">
        <v>191</v>
      </c>
      <c r="K94">
        <f>C95/-C96</f>
        <v>-22.846007853249478</v>
      </c>
    </row>
    <row r="95" spans="2:16" ht="15.6">
      <c r="B95" t="s">
        <v>192</v>
      </c>
      <c r="C95">
        <f>H62+(C45*(O9-H56)*(S7-O55))-(G45*I84*((G20*G103)/(C20*C17))*(O14-(O86*(O9-H56))))</f>
        <v>-1.3826786716291995E-2</v>
      </c>
      <c r="E95" s="23" t="s">
        <v>183</v>
      </c>
      <c r="F95" s="23"/>
      <c r="G95" s="24">
        <v>0.06</v>
      </c>
      <c r="H95" t="s">
        <v>184</v>
      </c>
    </row>
    <row r="96" spans="2:16">
      <c r="B96" t="s">
        <v>193</v>
      </c>
      <c r="C96">
        <f>H71+F80+(C45*(S7-O55))-(G45*I84*((G20*G103)/(C20*C17))*(1-(O86)))</f>
        <v>-6.0521675406521218E-4</v>
      </c>
      <c r="D96" t="s">
        <v>144</v>
      </c>
    </row>
  </sheetData>
  <mergeCells count="25">
    <mergeCell ref="B67:C67"/>
    <mergeCell ref="G67:H67"/>
    <mergeCell ref="B68:C68"/>
    <mergeCell ref="B74:C74"/>
    <mergeCell ref="E95:F95"/>
    <mergeCell ref="D52:E52"/>
    <mergeCell ref="F52:G52"/>
    <mergeCell ref="F54:G54"/>
    <mergeCell ref="G59:H59"/>
    <mergeCell ref="F61:G61"/>
    <mergeCell ref="B66:E66"/>
    <mergeCell ref="Q6:S6"/>
    <mergeCell ref="B29:D29"/>
    <mergeCell ref="B30:D30"/>
    <mergeCell ref="F30:H30"/>
    <mergeCell ref="D48:F48"/>
    <mergeCell ref="B51:E51"/>
    <mergeCell ref="G51:I51"/>
    <mergeCell ref="N51:O51"/>
    <mergeCell ref="C3:F3"/>
    <mergeCell ref="B5:D5"/>
    <mergeCell ref="B6:D6"/>
    <mergeCell ref="F6:H6"/>
    <mergeCell ref="J6:L6"/>
    <mergeCell ref="N6:P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CG</vt:lpstr>
      <vt:lpstr>STABILITY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Beltrame, Joshua</dc:creator>
  <cp:lastModifiedBy>Beltrame, Joshua</cp:lastModifiedBy>
  <dcterms:created xsi:type="dcterms:W3CDTF">2026-03-25T23:32:40Z</dcterms:created>
  <dcterms:modified xsi:type="dcterms:W3CDTF">2026-04-04T19:26:29Z</dcterms:modified>
</cp:coreProperties>
</file>